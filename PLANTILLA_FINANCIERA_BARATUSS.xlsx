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ROYECCIÓN" sheetId="2" state="visible" r:id="rId2"/>
    <sheet name="BREAK-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.00;[Red]-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sz val="11"/>
    </font>
    <font>
      <name val="Arial"/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FF968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165" fontId="4" fillId="3" borderId="1" pivotButton="0" quotePrefix="0" xfId="0"/>
    <xf numFmtId="164" fontId="4" fillId="3" borderId="1" pivotButton="0" quotePrefix="0" xfId="0"/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3" fontId="5" fillId="0" borderId="1" pivotButton="0" quotePrefix="0" xfId="0"/>
    <xf numFmtId="0" fontId="7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4" customWidth="1" min="4" max="4"/>
    <col width="12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  <col width="14" customWidth="1" min="11" max="11"/>
  </cols>
  <sheetData>
    <row r="1">
      <c r="A1" s="1" t="inlineStr">
        <is>
          <t>BARATUSS — PLANTILLA DE PRODUCTOS</t>
        </is>
      </c>
    </row>
    <row r="2">
      <c r="A2" s="2" t="inlineStr">
        <is>
          <t>Edita las celdas AZULES (Producto, Cantidad, Costo total, Ganancia deseada). Todo lo demás se calcula solo.</t>
        </is>
      </c>
    </row>
    <row r="4">
      <c r="A4" s="3" t="inlineStr">
        <is>
          <t>Categoría</t>
        </is>
      </c>
      <c r="B4" s="3" t="inlineStr">
        <is>
          <t>Producto</t>
        </is>
      </c>
      <c r="C4" s="3" t="inlineStr">
        <is>
          <t>Cantidad comprada</t>
        </is>
      </c>
      <c r="D4" s="3" t="inlineStr">
        <is>
          <t>Costo total de compra</t>
        </is>
      </c>
      <c r="E4" s="3" t="inlineStr">
        <is>
          <t>Costo unitario</t>
        </is>
      </c>
      <c r="F4" s="3" t="inlineStr">
        <is>
          <t>Ganancia deseada ($)</t>
        </is>
      </c>
      <c r="G4" s="3" t="inlineStr">
        <is>
          <t>Precio base (para ti)</t>
        </is>
      </c>
      <c r="H4" s="3" t="inlineStr">
        <is>
          <t>Precio final cliente</t>
        </is>
      </c>
      <c r="I4" s="3" t="inlineStr">
        <is>
          <t>Ganancia por unidad</t>
        </is>
      </c>
      <c r="J4" s="3" t="inlineStr">
        <is>
          <t>Margen de ganancia (%)</t>
        </is>
      </c>
      <c r="K4" s="3" t="inlineStr">
        <is>
          <t>Ganancia total potencial</t>
        </is>
      </c>
    </row>
    <row r="5">
      <c r="A5" s="4" t="inlineStr">
        <is>
          <t>Ropa</t>
        </is>
      </c>
      <c r="B5" s="4" t="inlineStr">
        <is>
          <t>Camisa básica</t>
        </is>
      </c>
      <c r="C5" s="5" t="n">
        <v>10</v>
      </c>
      <c r="D5" s="6" t="n">
        <v>30</v>
      </c>
      <c r="E5" s="7">
        <f>IF(OR($C5="",$D5="",$C5=0),"",$D5/$C5)</f>
        <v/>
      </c>
      <c r="F5" s="6" t="n">
        <v>3</v>
      </c>
      <c r="G5" s="7">
        <f>IF($E5="","",$E5+$F5)</f>
        <v/>
      </c>
      <c r="H5" s="7">
        <f>IF($G5="","",ROUND($G5*1.189325+0.25,2))</f>
        <v/>
      </c>
      <c r="I5" s="7">
        <f>IF($G5="","",$G5-$E5)</f>
        <v/>
      </c>
      <c r="J5" s="8">
        <f>IF($G5="","",($G5-$E5)/$G5)</f>
        <v/>
      </c>
      <c r="K5" s="7">
        <f>IF(OR($I5="",$C5=""),"",$I5*$C5)</f>
        <v/>
      </c>
    </row>
    <row r="6">
      <c r="A6" s="4" t="inlineStr">
        <is>
          <t>Accesorios</t>
        </is>
      </c>
      <c r="B6" s="4" t="inlineStr">
        <is>
          <t>Aritos (12 pares)</t>
        </is>
      </c>
      <c r="C6" s="5" t="n">
        <v>12</v>
      </c>
      <c r="D6" s="6" t="n">
        <v>1.5</v>
      </c>
      <c r="E6" s="7">
        <f>IF(OR($C6="",$D6="",$C6=0),"",$D6/$C6)</f>
        <v/>
      </c>
      <c r="F6" s="6" t="n">
        <v>2.19</v>
      </c>
      <c r="G6" s="7">
        <f>IF($E6="","",$E6+$F6)</f>
        <v/>
      </c>
      <c r="H6" s="7">
        <f>IF($G6="","",ROUND($G6*1.189325+0.25,2))</f>
        <v/>
      </c>
      <c r="I6" s="7">
        <f>IF($G6="","",$G6-$E6)</f>
        <v/>
      </c>
      <c r="J6" s="8">
        <f>IF($G6="","",($G6-$E6)/$G6)</f>
        <v/>
      </c>
      <c r="K6" s="7">
        <f>IF(OR($I6="",$C6=""),"",$I6*$C6)</f>
        <v/>
      </c>
    </row>
    <row r="7">
      <c r="A7" s="4" t="inlineStr">
        <is>
          <t>Maquillaje</t>
        </is>
      </c>
      <c r="B7" s="4" t="inlineStr">
        <is>
          <t>Labial</t>
        </is>
      </c>
      <c r="C7" s="5" t="n"/>
      <c r="D7" s="6" t="n"/>
      <c r="E7" s="7">
        <f>IF(OR($C7="",$D7="",$C7=0),"",$D7/$C7)</f>
        <v/>
      </c>
      <c r="F7" s="6" t="n">
        <v>2.5</v>
      </c>
      <c r="G7" s="7">
        <f>IF($E7="","",$E7+$F7)</f>
        <v/>
      </c>
      <c r="H7" s="7">
        <f>IF($G7="","",ROUND($G7*1.189325+0.25,2))</f>
        <v/>
      </c>
      <c r="I7" s="7">
        <f>IF($G7="","",$G7-$E7)</f>
        <v/>
      </c>
      <c r="J7" s="8">
        <f>IF($G7="","",($G7-$E7)/$G7)</f>
        <v/>
      </c>
      <c r="K7" s="7">
        <f>IF(OR($I7="",$C7=""),"",$I7*$C7)</f>
        <v/>
      </c>
    </row>
    <row r="8">
      <c r="A8" s="4" t="inlineStr"/>
      <c r="B8" s="4" t="inlineStr"/>
      <c r="C8" s="5" t="n"/>
      <c r="D8" s="6" t="n"/>
      <c r="E8" s="7">
        <f>IF(OR($C8="",$D8="",$C8=0),"",$D8/$C8)</f>
        <v/>
      </c>
      <c r="F8" s="6" t="inlineStr"/>
      <c r="G8" s="7">
        <f>IF($E8="","",$E8+$F8)</f>
        <v/>
      </c>
      <c r="H8" s="7">
        <f>IF($G8="","",ROUND($G8*1.189325+0.25,2))</f>
        <v/>
      </c>
      <c r="I8" s="7">
        <f>IF($G8="","",$G8-$E8)</f>
        <v/>
      </c>
      <c r="J8" s="8">
        <f>IF($G8="","",($G8-$E8)/$G8)</f>
        <v/>
      </c>
      <c r="K8" s="7">
        <f>IF(OR($I8="",$C8=""),"",$I8*$C8)</f>
        <v/>
      </c>
    </row>
    <row r="9">
      <c r="A9" s="4" t="inlineStr"/>
      <c r="B9" s="4" t="inlineStr"/>
      <c r="C9" s="5" t="n"/>
      <c r="D9" s="6" t="n"/>
      <c r="E9" s="7">
        <f>IF(OR($C9="",$D9="",$C9=0),"",$D9/$C9)</f>
        <v/>
      </c>
      <c r="F9" s="6" t="inlineStr"/>
      <c r="G9" s="7">
        <f>IF($E9="","",$E9+$F9)</f>
        <v/>
      </c>
      <c r="H9" s="7">
        <f>IF($G9="","",ROUND($G9*1.189325+0.25,2))</f>
        <v/>
      </c>
      <c r="I9" s="7">
        <f>IF($G9="","",$G9-$E9)</f>
        <v/>
      </c>
      <c r="J9" s="8">
        <f>IF($G9="","",($G9-$E9)/$G9)</f>
        <v/>
      </c>
      <c r="K9" s="7">
        <f>IF(OR($I9="",$C9=""),"",$I9*$C9)</f>
        <v/>
      </c>
    </row>
    <row r="11">
      <c r="A11" s="2" t="inlineStr">
        <is>
          <t>Notas: Precio final = (Precio base × 1.189325) + $0.25  |  1.189325 = 5.25% Wompi + 13% IVA  |  $0.25 tarifa fija Wompi. La ganancia se calcula sobre el PRECIO BASE (lo que recibe BARATUSS), no sobre el precio final.</t>
        </is>
      </c>
    </row>
  </sheetData>
  <mergeCells count="1">
    <mergeCell ref="A11:K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BARATUSS — PROYECCIÓN PRIMEROS 12 MESES</t>
        </is>
      </c>
    </row>
    <row r="2">
      <c r="A2" s="2" t="inlineStr">
        <is>
          <t>Edita: Unidades vendidas (azul) y crea escenarios. Precio/costo promedio vienen de la hoja PRODUCTOS automáticamente.</t>
        </is>
      </c>
    </row>
    <row r="4">
      <c r="A4" s="9" t="inlineStr">
        <is>
          <t>SUPUESTOS (edítalos si quieres)</t>
        </is>
      </c>
    </row>
    <row r="5">
      <c r="A5" s="10" t="inlineStr">
        <is>
          <t>Precio promedio por producto</t>
        </is>
      </c>
      <c r="B5" s="11">
        <f>IFERROR(AVERAGE(PRODUCTOS!G5:G9),"")</f>
        <v/>
      </c>
      <c r="C5" t="inlineStr">
        <is>
          <t>Se calcula solo (promedio de precios base en PRODUCTOS)</t>
        </is>
      </c>
    </row>
    <row r="6">
      <c r="A6" s="10" t="inlineStr">
        <is>
          <t>Costo promedio por producto</t>
        </is>
      </c>
      <c r="B6" s="11">
        <f>IFERROR(AVERAGE(PRODUCTOS!E5:E9),"")</f>
        <v/>
      </c>
      <c r="C6" t="inlineStr">
        <is>
          <t>Se calcula solo (promedio de costos unitarios)</t>
        </is>
      </c>
    </row>
    <row r="7">
      <c r="A7" s="12" t="inlineStr">
        <is>
          <t>% que reinvierto de la ganancia</t>
        </is>
      </c>
      <c r="B7" s="13" t="n">
        <v>0.3</v>
      </c>
      <c r="C7" t="inlineStr">
        <is>
          <t>Edítalo (ej. 30%) — lo que vuelve a comprar inventario</t>
        </is>
      </c>
    </row>
    <row r="8">
      <c r="A8" s="12" t="inlineStr">
        <is>
          <t>Otros gastos mensuales ($)</t>
        </is>
      </c>
      <c r="B8" s="14" t="n">
        <v>10</v>
      </c>
      <c r="C8" t="inlineStr">
        <is>
          <t>Edítalo (bolsas, empaques, gasolina, etc.)</t>
        </is>
      </c>
    </row>
    <row r="10">
      <c r="A10" s="3" t="inlineStr">
        <is>
          <t>Mes</t>
        </is>
      </c>
      <c r="B10" s="3" t="inlineStr">
        <is>
          <t>Unidades vendidas</t>
        </is>
      </c>
      <c r="C10" s="3" t="inlineStr">
        <is>
          <t>Ventas</t>
        </is>
      </c>
      <c r="D10" s="3" t="inlineStr">
        <is>
          <t>Costo de mercancía</t>
        </is>
      </c>
      <c r="E10" s="3" t="inlineStr">
        <is>
          <t>Comisiones/costos Wompi</t>
        </is>
      </c>
      <c r="F10" s="3" t="inlineStr">
        <is>
          <t>Otros gastos del negocio</t>
        </is>
      </c>
      <c r="G10" s="3" t="inlineStr">
        <is>
          <t>Ganancia neta</t>
        </is>
      </c>
      <c r="H10" s="3" t="inlineStr">
        <is>
          <t>Dinero reinvertido</t>
        </is>
      </c>
      <c r="I10" s="3" t="inlineStr">
        <is>
          <t>Dinero disponible para mí</t>
        </is>
      </c>
      <c r="J10" s="3" t="inlineStr">
        <is>
          <t>Ganancia acumulada</t>
        </is>
      </c>
    </row>
    <row r="11">
      <c r="A11" s="15" t="inlineStr">
        <is>
          <t>Mes 1</t>
        </is>
      </c>
      <c r="B11" s="5" t="n">
        <v>5</v>
      </c>
      <c r="C11" s="16">
        <f>IF($B11="","",$B11*$B$5)</f>
        <v/>
      </c>
      <c r="D11" s="16">
        <f>IF($B11="","",$B11*$B$6)</f>
        <v/>
      </c>
      <c r="E11" s="16">
        <f>IF($C11="","",$C11*0.0525+$B11*0.25)</f>
        <v/>
      </c>
      <c r="F11" s="16">
        <f>$B$8</f>
        <v/>
      </c>
      <c r="G11" s="16">
        <f>IF($C11="","",$C11-$D11-$E11-$F11)</f>
        <v/>
      </c>
      <c r="H11" s="16">
        <f>IF($G11="","",$G11*$B$7)</f>
        <v/>
      </c>
      <c r="I11" s="16">
        <f>IF($G11="","",$G11-$H11)</f>
        <v/>
      </c>
      <c r="J11" s="16">
        <f>IF($I{row}="","",$I{row})</f>
        <v/>
      </c>
    </row>
    <row r="12">
      <c r="A12" s="15" t="inlineStr">
        <is>
          <t>Mes 2</t>
        </is>
      </c>
      <c r="B12" s="5" t="n">
        <v>8</v>
      </c>
      <c r="C12" s="16">
        <f>IF($B12="","",$B12*$B$5)</f>
        <v/>
      </c>
      <c r="D12" s="16">
        <f>IF($B12="","",$B12*$B$6)</f>
        <v/>
      </c>
      <c r="E12" s="16">
        <f>IF($C12="","",$C12*0.0525+$B12*0.25)</f>
        <v/>
      </c>
      <c r="F12" s="16">
        <f>$B$8</f>
        <v/>
      </c>
      <c r="G12" s="16">
        <f>IF($C12="","",$C12-$D12-$E12-$F12)</f>
        <v/>
      </c>
      <c r="H12" s="16">
        <f>IF($G12="","",$G12*$B$7)</f>
        <v/>
      </c>
      <c r="I12" s="16">
        <f>IF($G12="","",$G12-$H12)</f>
        <v/>
      </c>
      <c r="J12" s="16">
        <f>IF($I12="","",$I12+$J11)</f>
        <v/>
      </c>
    </row>
    <row r="13">
      <c r="A13" s="15" t="inlineStr">
        <is>
          <t>Mes 3</t>
        </is>
      </c>
      <c r="B13" s="5" t="n">
        <v>10</v>
      </c>
      <c r="C13" s="16">
        <f>IF($B13="","",$B13*$B$5)</f>
        <v/>
      </c>
      <c r="D13" s="16">
        <f>IF($B13="","",$B13*$B$6)</f>
        <v/>
      </c>
      <c r="E13" s="16">
        <f>IF($C13="","",$C13*0.0525+$B13*0.25)</f>
        <v/>
      </c>
      <c r="F13" s="16">
        <f>$B$8</f>
        <v/>
      </c>
      <c r="G13" s="16">
        <f>IF($C13="","",$C13-$D13-$E13-$F13)</f>
        <v/>
      </c>
      <c r="H13" s="16">
        <f>IF($G13="","",$G13*$B$7)</f>
        <v/>
      </c>
      <c r="I13" s="16">
        <f>IF($G13="","",$G13-$H13)</f>
        <v/>
      </c>
      <c r="J13" s="16">
        <f>IF($I13="","",$I13+$J12)</f>
        <v/>
      </c>
    </row>
    <row r="14">
      <c r="A14" s="15" t="inlineStr">
        <is>
          <t>Mes 4</t>
        </is>
      </c>
      <c r="B14" s="5" t="n">
        <v>12</v>
      </c>
      <c r="C14" s="16">
        <f>IF($B14="","",$B14*$B$5)</f>
        <v/>
      </c>
      <c r="D14" s="16">
        <f>IF($B14="","",$B14*$B$6)</f>
        <v/>
      </c>
      <c r="E14" s="16">
        <f>IF($C14="","",$C14*0.0525+$B14*0.25)</f>
        <v/>
      </c>
      <c r="F14" s="16">
        <f>$B$8</f>
        <v/>
      </c>
      <c r="G14" s="16">
        <f>IF($C14="","",$C14-$D14-$E14-$F14)</f>
        <v/>
      </c>
      <c r="H14" s="16">
        <f>IF($G14="","",$G14*$B$7)</f>
        <v/>
      </c>
      <c r="I14" s="16">
        <f>IF($G14="","",$G14-$H14)</f>
        <v/>
      </c>
      <c r="J14" s="16">
        <f>IF($I14="","",$I14+$J13)</f>
        <v/>
      </c>
    </row>
    <row r="15">
      <c r="A15" s="15" t="inlineStr">
        <is>
          <t>Mes 5</t>
        </is>
      </c>
      <c r="B15" s="5" t="n">
        <v>15</v>
      </c>
      <c r="C15" s="16">
        <f>IF($B15="","",$B15*$B$5)</f>
        <v/>
      </c>
      <c r="D15" s="16">
        <f>IF($B15="","",$B15*$B$6)</f>
        <v/>
      </c>
      <c r="E15" s="16">
        <f>IF($C15="","",$C15*0.0525+$B15*0.25)</f>
        <v/>
      </c>
      <c r="F15" s="16">
        <f>$B$8</f>
        <v/>
      </c>
      <c r="G15" s="16">
        <f>IF($C15="","",$C15-$D15-$E15-$F15)</f>
        <v/>
      </c>
      <c r="H15" s="16">
        <f>IF($G15="","",$G15*$B$7)</f>
        <v/>
      </c>
      <c r="I15" s="16">
        <f>IF($G15="","",$G15-$H15)</f>
        <v/>
      </c>
      <c r="J15" s="16">
        <f>IF($I15="","",$I15+$J14)</f>
        <v/>
      </c>
    </row>
    <row r="16">
      <c r="A16" s="15" t="inlineStr">
        <is>
          <t>Mes 6</t>
        </is>
      </c>
      <c r="B16" s="5" t="n">
        <v>18</v>
      </c>
      <c r="C16" s="16">
        <f>IF($B16="","",$B16*$B$5)</f>
        <v/>
      </c>
      <c r="D16" s="16">
        <f>IF($B16="","",$B16*$B$6)</f>
        <v/>
      </c>
      <c r="E16" s="16">
        <f>IF($C16="","",$C16*0.0525+$B16*0.25)</f>
        <v/>
      </c>
      <c r="F16" s="16">
        <f>$B$8</f>
        <v/>
      </c>
      <c r="G16" s="16">
        <f>IF($C16="","",$C16-$D16-$E16-$F16)</f>
        <v/>
      </c>
      <c r="H16" s="16">
        <f>IF($G16="","",$G16*$B$7)</f>
        <v/>
      </c>
      <c r="I16" s="16">
        <f>IF($G16="","",$G16-$H16)</f>
        <v/>
      </c>
      <c r="J16" s="16">
        <f>IF($I16="","",$I16+$J15)</f>
        <v/>
      </c>
    </row>
    <row r="17">
      <c r="A17" s="15" t="inlineStr">
        <is>
          <t>Mes 7</t>
        </is>
      </c>
      <c r="B17" s="5" t="n">
        <v>20</v>
      </c>
      <c r="C17" s="16">
        <f>IF($B17="","",$B17*$B$5)</f>
        <v/>
      </c>
      <c r="D17" s="16">
        <f>IF($B17="","",$B17*$B$6)</f>
        <v/>
      </c>
      <c r="E17" s="16">
        <f>IF($C17="","",$C17*0.0525+$B17*0.25)</f>
        <v/>
      </c>
      <c r="F17" s="16">
        <f>$B$8</f>
        <v/>
      </c>
      <c r="G17" s="16">
        <f>IF($C17="","",$C17-$D17-$E17-$F17)</f>
        <v/>
      </c>
      <c r="H17" s="16">
        <f>IF($G17="","",$G17*$B$7)</f>
        <v/>
      </c>
      <c r="I17" s="16">
        <f>IF($G17="","",$G17-$H17)</f>
        <v/>
      </c>
      <c r="J17" s="16">
        <f>IF($I17="","",$I17+$J16)</f>
        <v/>
      </c>
    </row>
    <row r="18">
      <c r="A18" s="15" t="inlineStr">
        <is>
          <t>Mes 8</t>
        </is>
      </c>
      <c r="B18" s="5" t="n">
        <v>22</v>
      </c>
      <c r="C18" s="16">
        <f>IF($B18="","",$B18*$B$5)</f>
        <v/>
      </c>
      <c r="D18" s="16">
        <f>IF($B18="","",$B18*$B$6)</f>
        <v/>
      </c>
      <c r="E18" s="16">
        <f>IF($C18="","",$C18*0.0525+$B18*0.25)</f>
        <v/>
      </c>
      <c r="F18" s="16">
        <f>$B$8</f>
        <v/>
      </c>
      <c r="G18" s="16">
        <f>IF($C18="","",$C18-$D18-$E18-$F18)</f>
        <v/>
      </c>
      <c r="H18" s="16">
        <f>IF($G18="","",$G18*$B$7)</f>
        <v/>
      </c>
      <c r="I18" s="16">
        <f>IF($G18="","",$G18-$H18)</f>
        <v/>
      </c>
      <c r="J18" s="16">
        <f>IF($I18="","",$I18+$J17)</f>
        <v/>
      </c>
    </row>
    <row r="19">
      <c r="A19" s="15" t="inlineStr">
        <is>
          <t>Mes 9</t>
        </is>
      </c>
      <c r="B19" s="5" t="n">
        <v>25</v>
      </c>
      <c r="C19" s="16">
        <f>IF($B19="","",$B19*$B$5)</f>
        <v/>
      </c>
      <c r="D19" s="16">
        <f>IF($B19="","",$B19*$B$6)</f>
        <v/>
      </c>
      <c r="E19" s="16">
        <f>IF($C19="","",$C19*0.0525+$B19*0.25)</f>
        <v/>
      </c>
      <c r="F19" s="16">
        <f>$B$8</f>
        <v/>
      </c>
      <c r="G19" s="16">
        <f>IF($C19="","",$C19-$D19-$E19-$F19)</f>
        <v/>
      </c>
      <c r="H19" s="16">
        <f>IF($G19="","",$G19*$B$7)</f>
        <v/>
      </c>
      <c r="I19" s="16">
        <f>IF($G19="","",$G19-$H19)</f>
        <v/>
      </c>
      <c r="J19" s="16">
        <f>IF($I19="","",$I19+$J18)</f>
        <v/>
      </c>
    </row>
    <row r="20">
      <c r="A20" s="15" t="inlineStr">
        <is>
          <t>Mes 10</t>
        </is>
      </c>
      <c r="B20" s="5" t="n">
        <v>28</v>
      </c>
      <c r="C20" s="16">
        <f>IF($B20="","",$B20*$B$5)</f>
        <v/>
      </c>
      <c r="D20" s="16">
        <f>IF($B20="","",$B20*$B$6)</f>
        <v/>
      </c>
      <c r="E20" s="16">
        <f>IF($C20="","",$C20*0.0525+$B20*0.25)</f>
        <v/>
      </c>
      <c r="F20" s="16">
        <f>$B$8</f>
        <v/>
      </c>
      <c r="G20" s="16">
        <f>IF($C20="","",$C20-$D20-$E20-$F20)</f>
        <v/>
      </c>
      <c r="H20" s="16">
        <f>IF($G20="","",$G20*$B$7)</f>
        <v/>
      </c>
      <c r="I20" s="16">
        <f>IF($G20="","",$G20-$H20)</f>
        <v/>
      </c>
      <c r="J20" s="16">
        <f>IF($I20="","",$I20+$J19)</f>
        <v/>
      </c>
    </row>
    <row r="21">
      <c r="A21" s="15" t="inlineStr">
        <is>
          <t>Mes 11</t>
        </is>
      </c>
      <c r="B21" s="5" t="n">
        <v>30</v>
      </c>
      <c r="C21" s="16">
        <f>IF($B21="","",$B21*$B$5)</f>
        <v/>
      </c>
      <c r="D21" s="16">
        <f>IF($B21="","",$B21*$B$6)</f>
        <v/>
      </c>
      <c r="E21" s="16">
        <f>IF($C21="","",$C21*0.0525+$B21*0.25)</f>
        <v/>
      </c>
      <c r="F21" s="16">
        <f>$B$8</f>
        <v/>
      </c>
      <c r="G21" s="16">
        <f>IF($C21="","",$C21-$D21-$E21-$F21)</f>
        <v/>
      </c>
      <c r="H21" s="16">
        <f>IF($G21="","",$G21*$B$7)</f>
        <v/>
      </c>
      <c r="I21" s="16">
        <f>IF($G21="","",$G21-$H21)</f>
        <v/>
      </c>
      <c r="J21" s="16">
        <f>IF($I21="","",$I21+$J20)</f>
        <v/>
      </c>
    </row>
    <row r="22">
      <c r="A22" s="15" t="inlineStr">
        <is>
          <t>Mes 12</t>
        </is>
      </c>
      <c r="B22" s="5" t="n">
        <v>35</v>
      </c>
      <c r="C22" s="16">
        <f>IF($B22="","",$B22*$B$5)</f>
        <v/>
      </c>
      <c r="D22" s="16">
        <f>IF($B22="","",$B22*$B$6)</f>
        <v/>
      </c>
      <c r="E22" s="16">
        <f>IF($C22="","",$C22*0.0525+$B22*0.25)</f>
        <v/>
      </c>
      <c r="F22" s="16">
        <f>$B$8</f>
        <v/>
      </c>
      <c r="G22" s="16">
        <f>IF($C22="","",$C22-$D22-$E22-$F22)</f>
        <v/>
      </c>
      <c r="H22" s="16">
        <f>IF($G22="","",$G22*$B$7)</f>
        <v/>
      </c>
      <c r="I22" s="16">
        <f>IF($G22="","",$G22-$H22)</f>
        <v/>
      </c>
      <c r="J22" s="16">
        <f>IF($I22="","",$I22+$J21)</f>
        <v/>
      </c>
    </row>
    <row r="24">
      <c r="A24" s="2" t="inlineStr">
        <is>
          <t>Las unidades vendidas son editables (azul) — prueba escenarios: conservador (5-15/mes), normal (15-40), optimista (40+). Nada de cifras inventadas: los valores iniciales son conservadores.</t>
        </is>
      </c>
    </row>
  </sheetData>
  <mergeCells count="1">
    <mergeCell ref="A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5" customWidth="1" min="3" max="3"/>
  </cols>
  <sheetData>
    <row r="1">
      <c r="A1" s="1" t="inlineStr">
        <is>
          <t>BARATUSS — PUNTO DE EQUILIBRIO (BREAK-EVEN)</t>
        </is>
      </c>
    </row>
    <row r="3">
      <c r="A3" s="9" t="inlineStr">
        <is>
          <t>PUNTO DE EQUILIBRIO</t>
        </is>
      </c>
    </row>
    <row r="4">
      <c r="A4" s="12" t="inlineStr">
        <is>
          <t>Gastos fijos mensuales ($)</t>
        </is>
      </c>
      <c r="B4" s="14" t="n">
        <v>40</v>
      </c>
      <c r="C4" s="2" t="inlineStr">
        <is>
          <t>Edítalo: alquiler, internet, bolsas, etc.</t>
        </is>
      </c>
    </row>
    <row r="5">
      <c r="A5" s="12" t="inlineStr">
        <is>
          <t>Margen promedio por unidad ($)</t>
        </is>
      </c>
      <c r="B5" s="11">
        <f>IFERROR(AVERAGE(PRODUCTOS!I5:I9),"")</f>
        <v/>
      </c>
    </row>
    <row r="6">
      <c r="A6" s="12" t="inlineStr">
        <is>
          <t>Cantidad para alcanzar break-even</t>
        </is>
      </c>
      <c r="B6" s="17">
        <f>IF($B$5=0,"",ROUNDUP($B$4/$B$5,0))</f>
        <v/>
      </c>
    </row>
    <row r="7">
      <c r="A7" s="12" t="inlineStr">
        <is>
          <t>Ventas necesarias para break-even ($)</t>
        </is>
      </c>
      <c r="B7" s="11">
        <f>IF($B$6="","",$B$6*AVERAGE(PRODUCTOS!G5:G9))</f>
        <v/>
      </c>
    </row>
    <row r="10">
      <c r="A10" s="9" t="inlineStr">
        <is>
          <t>META DE INDEPENDENCIA</t>
        </is>
      </c>
    </row>
    <row r="11">
      <c r="A11" t="inlineStr">
        <is>
          <t>¿Cuánto necesito al mes para vivir sola?</t>
        </is>
      </c>
    </row>
    <row r="12">
      <c r="A12" s="12" t="inlineStr">
        <is>
          <t>Alquiler</t>
        </is>
      </c>
      <c r="B12" s="14" t="n"/>
    </row>
    <row r="13">
      <c r="A13" s="12" t="inlineStr">
        <is>
          <t>Electricidad</t>
        </is>
      </c>
      <c r="B13" s="14" t="n"/>
    </row>
    <row r="14">
      <c r="A14" s="12" t="inlineStr">
        <is>
          <t>Agua</t>
        </is>
      </c>
      <c r="B14" s="14" t="n"/>
    </row>
    <row r="15">
      <c r="A15" s="12" t="inlineStr">
        <is>
          <t>Alimentación</t>
        </is>
      </c>
      <c r="B15" s="14" t="n"/>
    </row>
    <row r="16">
      <c r="A16" s="12" t="inlineStr">
        <is>
          <t>Internet</t>
        </is>
      </c>
      <c r="B16" s="14" t="n"/>
    </row>
    <row r="17">
      <c r="A17" s="12" t="inlineStr">
        <is>
          <t>Teléfono</t>
        </is>
      </c>
      <c r="B17" s="14" t="n"/>
    </row>
    <row r="18">
      <c r="A18" s="12" t="inlineStr">
        <is>
          <t>Transporte</t>
        </is>
      </c>
      <c r="B18" s="14" t="n"/>
    </row>
    <row r="19">
      <c r="A19" s="12" t="inlineStr">
        <is>
          <t>Gastos personales</t>
        </is>
      </c>
      <c r="B19" s="14" t="n"/>
    </row>
    <row r="20">
      <c r="A20" s="12" t="inlineStr">
        <is>
          <t>Ahorro</t>
        </is>
      </c>
      <c r="B20" s="14" t="n"/>
    </row>
    <row r="21">
      <c r="A21" s="12" t="inlineStr">
        <is>
          <t>Gastos del negocio</t>
        </is>
      </c>
      <c r="B21" s="14" t="n"/>
    </row>
    <row r="22">
      <c r="A22" s="18" t="inlineStr">
        <is>
          <t>TOTAL mensual necesario</t>
        </is>
      </c>
      <c r="B22" s="11">
        <f>SUM(B12:B21)</f>
        <v/>
      </c>
    </row>
    <row r="23">
      <c r="A23" s="18" t="inlineStr">
        <is>
          <t>Ingreso mensual necesario para independencia</t>
        </is>
      </c>
      <c r="B23" s="19">
        <f>B22</f>
        <v/>
      </c>
    </row>
    <row r="24">
      <c r="A24" s="12" t="inlineStr">
        <is>
          <t>≈ Productos a vender al mes (según tu margen promedio)</t>
        </is>
      </c>
      <c r="B24" s="17">
        <f>IF($B$5=0,"",ROUNDUP(B23/$B$5,0))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2026-08-14T03:38:23Z</dcterms:created>
  <dcterms:modified xsi:type="dcterms:W3CDTF">2026-08-14T03:38:23Z</dcterms:modified>
</cp:coreProperties>
</file>