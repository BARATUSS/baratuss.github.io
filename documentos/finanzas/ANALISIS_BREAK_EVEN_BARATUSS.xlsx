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STOS" sheetId="2" state="visible" r:id="rId2"/>
    <sheet name="PRODUCTOS" sheetId="3" state="visible" r:id="rId3"/>
    <sheet name="BREAK-EVEN" sheetId="4" state="visible" r:id="rId4"/>
    <sheet name="ESCENARIOS" sheetId="5" state="visible" r:id="rId5"/>
    <sheet name="PROYECCIÓN" sheetId="6" state="visible" r:id="rId6"/>
    <sheet name="ACCIONES" sheetId="7" state="visible" r:id="rId7"/>
    <sheet name="DATOS FALTA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i val="1"/>
      <color rgb="00666666"/>
      <sz val="9"/>
    </font>
    <font>
      <name val="Arial"/>
      <b val="1"/>
      <color rgb="00000000"/>
      <sz val="12"/>
    </font>
    <font>
      <name val="Arial"/>
      <i val="1"/>
      <color rgb="00CC0000"/>
      <sz val="10"/>
    </font>
    <font>
      <name val="Arial"/>
      <b val="1"/>
      <sz val="11"/>
    </font>
    <font>
      <name val="Arial"/>
      <color rgb="00000000"/>
      <sz val="11"/>
    </font>
    <font>
      <name val="Arial"/>
      <b val="1"/>
      <color rgb="00FFFFFF"/>
      <sz val="11"/>
    </font>
    <font>
      <name val="Arial"/>
      <b val="1"/>
      <color rgb="00CC0000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968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3" fontId="0" fillId="2" borderId="0" pivotButton="0" quotePrefix="0" xfId="0"/>
    <xf numFmtId="0" fontId="4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0" fontId="5" fillId="0" borderId="1" pivotButton="0" quotePrefix="0" xfId="0"/>
    <xf numFmtId="164" fontId="6" fillId="0" borderId="1" pivotButton="0" quotePrefix="0" xfId="0"/>
    <xf numFmtId="165" fontId="0" fillId="0" borderId="1" pivotButton="0" quotePrefix="0" xfId="0"/>
    <xf numFmtId="0" fontId="7" fillId="3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8" fillId="0" borderId="0" pivotButton="0" quotePrefix="0" xfId="0"/>
    <xf numFmtId="164" fontId="8" fillId="0" borderId="0" pivotButton="0" quotePrefix="0" xfId="0"/>
    <xf numFmtId="3" fontId="6" fillId="0" borderId="0" pivotButton="0" quotePrefix="0" xfId="0"/>
    <xf numFmtId="3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BARATUSS — ANÁLISIS DE PUNTO DE EQUILIBRIO (BREAK-EVEN)</t>
        </is>
      </c>
    </row>
    <row r="2">
      <c r="A2" s="2" t="inlineStr">
        <is>
          <t>Basado únicamente en datos reales registrados de BARATUSS. Los valores marcados como ESTIMACIÓN son editables.</t>
        </is>
      </c>
    </row>
    <row r="4">
      <c r="A4" s="3" t="inlineStr">
        <is>
          <t>CONCLUSIÓN</t>
        </is>
      </c>
    </row>
    <row r="5">
      <c r="A5" t="inlineStr">
        <is>
          <t>BARATUSS NECESITA VENDER</t>
        </is>
      </c>
      <c r="B5" s="4" t="n"/>
    </row>
    <row r="6">
      <c r="A6" t="inlineStr">
        <is>
          <t>EQUIVALE APROXIMADAMENTE A</t>
        </is>
      </c>
      <c r="B6" s="5" t="n"/>
    </row>
    <row r="7">
      <c r="A7" t="inlineStr">
        <is>
          <t>POR SEMANA</t>
        </is>
      </c>
      <c r="B7" s="5" t="n"/>
    </row>
    <row r="8">
      <c r="A8" t="inlineStr">
        <is>
          <t>POR DÍA</t>
        </is>
      </c>
      <c r="B8" s="5" t="n"/>
    </row>
    <row r="9">
      <c r="A9" t="inlineStr">
        <is>
          <t>CON EL RITMO ACTUAL</t>
        </is>
      </c>
      <c r="B9" s="6" t="inlineStr">
        <is>
          <t>SIN VENTAS REGISTRADAS (0 órdenes en Supabase) — no alcanzaría aún</t>
        </is>
      </c>
    </row>
    <row r="10">
      <c r="A10" t="inlineStr">
        <is>
          <t>FECHA/MES ESTIMADO PARA ALCANZARLO</t>
        </is>
      </c>
      <c r="B10" s="6" t="inlineStr">
        <is>
          <t>NO DETERMINABLE — no hay ventas reales para proyectar</t>
        </is>
      </c>
    </row>
    <row r="11">
      <c r="A11" t="inlineStr">
        <is>
          <t>PARA LLEGAR MÁS RÁPIDO</t>
        </is>
      </c>
      <c r="B11" s="2" t="inlineStr">
        <is>
          <t>Ver hoja ACCIONES (priorizar productos de alto margen, reducir costos fijos)</t>
        </is>
      </c>
    </row>
    <row r="13">
      <c r="A13" s="6" t="inlineStr">
        <is>
          <t>⚠️ DATOS FALTANTES (no inventados — ver hoja DATOS FALTANTES)</t>
        </is>
      </c>
    </row>
    <row r="14">
      <c r="A14" s="2" t="inlineStr">
        <is>
          <t>• Costos fijos mensuales (alquiler, internet, etc.) NO registrados</t>
        </is>
      </c>
    </row>
    <row r="15">
      <c r="A15" s="2" t="inlineStr">
        <is>
          <t>• Empaque: NO registrado</t>
        </is>
      </c>
    </row>
    <row r="16">
      <c r="A16" s="2" t="inlineStr">
        <is>
          <t>• Publicidad: NO registrada</t>
        </is>
      </c>
    </row>
    <row r="17">
      <c r="A17" s="2" t="inlineStr">
        <is>
          <t>• Ventas reales: 0 órdenes — sin historial para proyectar escenarios reales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55" customWidth="1" min="3" max="3"/>
  </cols>
  <sheetData>
    <row r="1">
      <c r="A1" s="1" t="inlineStr">
        <is>
          <t>ANÁLISIS DE COSTOS — BARATUSS</t>
        </is>
      </c>
    </row>
    <row r="2">
      <c r="A2" s="2" t="inlineStr">
        <is>
          <t>Solo datos reales. Celdas amarillas = editable (ESTIMACIÓN). Celdas rojas = dato faltante.</t>
        </is>
      </c>
    </row>
    <row r="4">
      <c r="A4" s="3" t="inlineStr">
        <is>
          <t>COSTOS FIJOS MENSUALES (no dependen de las ventas)</t>
        </is>
      </c>
    </row>
    <row r="5">
      <c r="A5" s="7" t="inlineStr">
        <is>
          <t>Alquiler/local</t>
        </is>
      </c>
      <c r="B5" s="8" t="n"/>
      <c r="C5" s="2" t="inlineStr">
        <is>
          <t>DATO FALTANTE — no registrado</t>
        </is>
      </c>
    </row>
    <row r="6">
      <c r="A6" s="7" t="inlineStr">
        <is>
          <t>Internet</t>
        </is>
      </c>
      <c r="B6" s="8" t="n"/>
      <c r="C6" s="2" t="inlineStr">
        <is>
          <t>DATO FALTANTE — no registrado</t>
        </is>
      </c>
    </row>
    <row r="7">
      <c r="A7" s="7" t="inlineStr">
        <is>
          <t>Bolsas/empaque (mensual)</t>
        </is>
      </c>
      <c r="B7" s="8" t="n"/>
      <c r="C7" s="2" t="inlineStr">
        <is>
          <t>DATO FALTANTE — no registrado</t>
        </is>
      </c>
    </row>
    <row r="8">
      <c r="A8" s="7" t="inlineStr">
        <is>
          <t>Publicidad/marketing</t>
        </is>
      </c>
      <c r="B8" s="8" t="n"/>
      <c r="C8" s="2" t="inlineStr">
        <is>
          <t>DATO FALTANTE — no registrado</t>
        </is>
      </c>
    </row>
    <row r="9">
      <c r="A9" s="7" t="inlineStr">
        <is>
          <t>Otros fijos</t>
        </is>
      </c>
      <c r="B9" s="8" t="n"/>
      <c r="C9" s="2" t="inlineStr">
        <is>
          <t>DATO FALTANTE — no registrado</t>
        </is>
      </c>
    </row>
    <row r="10">
      <c r="A10" s="9" t="inlineStr">
        <is>
          <t>TOTAL COSTOS FIJOS MENSUALES</t>
        </is>
      </c>
      <c r="B10" s="10">
        <f>SUM(B5:B9)</f>
        <v/>
      </c>
    </row>
    <row r="12">
      <c r="A12" s="3" t="inlineStr">
        <is>
          <t>COSTOS VARIABLES (por unidad vendida)</t>
        </is>
      </c>
    </row>
    <row r="13">
      <c r="A13" s="7" t="inlineStr">
        <is>
          <t>Costo de adquisición (lo que cuesta el producto)</t>
        </is>
      </c>
      <c r="B13" s="7" t="n"/>
      <c r="C13" s="2" t="inlineStr">
        <is>
          <t>DATO FALTANTE — varía por producto (ver hoja PRODUCTOS)</t>
        </is>
      </c>
    </row>
    <row r="14">
      <c r="A14" s="7" t="inlineStr">
        <is>
          <t>Empaque por unidad</t>
        </is>
      </c>
      <c r="B14" s="7" t="n"/>
      <c r="C14" s="2" t="inlineStr">
        <is>
          <t>DATO FALTANTE — no registrado</t>
        </is>
      </c>
    </row>
    <row r="15">
      <c r="A15" s="7" t="inlineStr">
        <is>
          <t>Comisión Wompi (tarjeta)</t>
        </is>
      </c>
      <c r="B15" s="11" t="n">
        <v>0.0525</v>
      </c>
      <c r="C15" s="2" t="inlineStr">
        <is>
          <t>5.25% del monto + $0.25 por transacción — dato real</t>
        </is>
      </c>
    </row>
    <row r="16">
      <c r="A16" s="7" t="inlineStr">
        <is>
          <t>Tarifa fija Wompi por transacción</t>
        </is>
      </c>
      <c r="B16" s="11" t="n">
        <v>0.25</v>
      </c>
      <c r="C16" s="2" t="inlineStr">
        <is>
          <t>Dato real</t>
        </is>
      </c>
    </row>
    <row r="17">
      <c r="A17" s="7" t="inlineStr">
        <is>
          <t>Envío/transporte</t>
        </is>
      </c>
      <c r="B17" s="7" t="n"/>
      <c r="C17" s="2" t="inlineStr">
        <is>
          <t>DATO FALTANTE — el cobro al cliente es $2.50, pero el costo real de envío no está registrado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16" customWidth="1" min="5" max="5"/>
    <col width="14" customWidth="1" min="6" max="6"/>
    <col width="14" customWidth="1" min="7" max="7"/>
    <col width="18" customWidth="1" min="8" max="8"/>
    <col width="40" customWidth="1" min="9" max="9"/>
  </cols>
  <sheetData>
    <row r="1">
      <c r="A1" s="1" t="inlineStr">
        <is>
          <t>ANÁLISIS DE PRODUCTOS Y MÁRGENES — BARATUSS</t>
        </is>
      </c>
    </row>
    <row r="2">
      <c r="A2" s="2" t="inlineStr">
        <is>
          <t>Precio base = lo que recibe BARATUSS (sin IVA ni comisión). Margen de contribución = precio base − costo variable.</t>
        </is>
      </c>
    </row>
    <row r="4">
      <c r="A4" s="12" t="inlineStr">
        <is>
          <t>Producto</t>
        </is>
      </c>
      <c r="B4" s="12" t="inlineStr">
        <is>
          <t>Categoría</t>
        </is>
      </c>
      <c r="C4" s="12" t="inlineStr">
        <is>
          <t>Costo unitario</t>
        </is>
      </c>
      <c r="D4" s="12" t="inlineStr">
        <is>
          <t>Precio base (recibe BARATUSS)</t>
        </is>
      </c>
      <c r="E4" s="12" t="inlineStr">
        <is>
          <t>Precio final (cliente paga)</t>
        </is>
      </c>
      <c r="F4" s="12" t="inlineStr">
        <is>
          <t>Ganancia bruta/unidad</t>
        </is>
      </c>
      <c r="G4" s="12" t="inlineStr">
        <is>
          <t>Margen de ganancia</t>
        </is>
      </c>
      <c r="H4" s="12" t="inlineStr">
        <is>
          <t>Margen de contribución/unidad</t>
        </is>
      </c>
      <c r="I4" s="12" t="inlineStr">
        <is>
          <t>Fuente</t>
        </is>
      </c>
    </row>
    <row r="5">
      <c r="A5" s="7" t="inlineStr">
        <is>
          <t>Camiseta negra</t>
        </is>
      </c>
      <c r="B5" s="7" t="inlineStr">
        <is>
          <t>Ropa</t>
        </is>
      </c>
      <c r="C5" s="8" t="n">
        <v>3</v>
      </c>
      <c r="D5" s="8" t="n">
        <v>4.5</v>
      </c>
      <c r="E5" s="13">
        <f>IF($D5="","",ROUND($D5*1.189325+0.25,2))</f>
        <v/>
      </c>
      <c r="F5" s="13">
        <f>IF(OR($C5="",$D5=""),"",$D5-$C5)</f>
        <v/>
      </c>
      <c r="G5" s="11">
        <f>IF($D5="","",($D5-$C5)/$D5)</f>
        <v/>
      </c>
      <c r="H5" s="13">
        <f>IF(OR($C5="",$D5=""),"",$D5-$C5)</f>
        <v/>
      </c>
      <c r="I5" s="14" t="inlineStr">
        <is>
          <t>Dato real — inventario Supabase</t>
        </is>
      </c>
    </row>
    <row r="6">
      <c r="A6" s="7" t="inlineStr">
        <is>
          <t>Camisa básica</t>
        </is>
      </c>
      <c r="B6" s="7" t="inlineStr">
        <is>
          <t>Ropa</t>
        </is>
      </c>
      <c r="C6" s="8" t="n">
        <v>3</v>
      </c>
      <c r="D6" s="8" t="n">
        <v>6</v>
      </c>
      <c r="E6" s="13">
        <f>IF($D6="","",ROUND($D6*1.189325+0.25,2))</f>
        <v/>
      </c>
      <c r="F6" s="13">
        <f>IF(OR($C6="",$D6=""),"",$D6-$C6)</f>
        <v/>
      </c>
      <c r="G6" s="11">
        <f>IF($D6="","",($D6-$C6)/$D6)</f>
        <v/>
      </c>
      <c r="H6" s="13">
        <f>IF(OR($C6="",$D6=""),"",$D6-$C6)</f>
        <v/>
      </c>
      <c r="I6" s="14" t="inlineStr">
        <is>
          <t>Catálogo (ejemplo plantilla)</t>
        </is>
      </c>
    </row>
    <row r="7">
      <c r="A7" s="7" t="inlineStr">
        <is>
          <t>Aritos (12 pares)</t>
        </is>
      </c>
      <c r="B7" s="7" t="inlineStr">
        <is>
          <t>Accesorios</t>
        </is>
      </c>
      <c r="C7" s="8" t="n">
        <v>0.125</v>
      </c>
      <c r="D7" s="8" t="n">
        <v>2.315</v>
      </c>
      <c r="E7" s="13">
        <f>IF($D7="","",ROUND($D7*1.189325+0.25,2))</f>
        <v/>
      </c>
      <c r="F7" s="13">
        <f>IF(OR($C7="",$D7=""),"",$D7-$C7)</f>
        <v/>
      </c>
      <c r="G7" s="11">
        <f>IF($D7="","",($D7-$C7)/$D7)</f>
        <v/>
      </c>
      <c r="H7" s="13">
        <f>IF(OR($C7="",$D7=""),"",$D7-$C7)</f>
        <v/>
      </c>
      <c r="I7" s="14" t="inlineStr">
        <is>
          <t>Catálogo (ejemplo plantilla)</t>
        </is>
      </c>
    </row>
    <row r="8">
      <c r="A8" s="7" t="inlineStr">
        <is>
          <t>Labial</t>
        </is>
      </c>
      <c r="B8" s="7" t="inlineStr">
        <is>
          <t>Maquillaje</t>
        </is>
      </c>
      <c r="C8" s="8" t="n"/>
      <c r="D8" s="8" t="n"/>
      <c r="E8" s="13">
        <f>IF($D8="","",ROUND($D8*1.189325+0.25,2))</f>
        <v/>
      </c>
      <c r="F8" s="13">
        <f>IF(OR($C8="",$D8=""),"",$D8-$C8)</f>
        <v/>
      </c>
      <c r="G8" s="11">
        <f>IF($D8="","",($D8-$C8)/$D8)</f>
        <v/>
      </c>
      <c r="H8" s="13">
        <f>IF(OR($C8="",$D8=""),"",$D8-$C8)</f>
        <v/>
      </c>
      <c r="I8" s="14" t="inlineStr">
        <is>
          <t>DATO FALTANTE — sin costo registrado</t>
        </is>
      </c>
    </row>
    <row r="10">
      <c r="A10" s="15" t="inlineStr">
        <is>
          <t>PROMEDIO (solo productos con datos)</t>
        </is>
      </c>
      <c r="C10" s="16">
        <f>IFERROR(AVERAGE(C5:C8),"")</f>
        <v/>
      </c>
      <c r="D10" s="16">
        <f>IFERROR(AVERAGE(D5:D8),"")</f>
        <v/>
      </c>
      <c r="F10" s="16">
        <f>IFERROR(AVERAGE(F5:F8),"")</f>
        <v/>
      </c>
      <c r="G10" s="17">
        <f>IFERROR(AVERAGE(G5:G8),"")</f>
        <v/>
      </c>
      <c r="H10" s="16">
        <f>IFERROR(AVERAGE(H5:H8),"")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1" t="inlineStr">
        <is>
          <t>CÁLCULO DEL PUNTO DE EQUILIBRIO</t>
        </is>
      </c>
    </row>
    <row r="2">
      <c r="A2" s="2" t="inlineStr">
        <is>
          <t>Fórmula: Break-even en unidades = Costos fijos mensuales ÷ Margen de contribución promedio por unidad</t>
        </is>
      </c>
    </row>
    <row r="4">
      <c r="A4" s="3" t="inlineStr">
        <is>
          <t>Datos de entrada</t>
        </is>
      </c>
    </row>
    <row r="5">
      <c r="A5" t="inlineStr">
        <is>
          <t>Costos fijos mensuales ($)</t>
        </is>
      </c>
      <c r="B5" s="10">
        <f>COSTOS!B10</f>
        <v/>
      </c>
    </row>
    <row r="6">
      <c r="A6" t="inlineStr">
        <is>
          <t>Margen de contribución promedio ($/unidad)</t>
        </is>
      </c>
      <c r="B6" s="10">
        <f>IFERROR(PRODUCTOS!H9,"")</f>
        <v/>
      </c>
    </row>
    <row r="7">
      <c r="A7" t="inlineStr">
        <is>
          <t>Precio de venta promedio ($/unidad, base)</t>
        </is>
      </c>
      <c r="B7" s="10">
        <f>IFERROR(PRODUCTOS!D9,"")</f>
        <v/>
      </c>
    </row>
    <row r="8">
      <c r="A8" t="inlineStr">
        <is>
          <t>Precio final promedio (cliente paga)</t>
        </is>
      </c>
      <c r="B8" s="10">
        <f>IFERROR(PRODUCTOS!E9,"")</f>
        <v/>
      </c>
    </row>
    <row r="10">
      <c r="A10" s="3" t="inlineStr">
        <is>
          <t>RESULTADOS</t>
        </is>
      </c>
    </row>
    <row r="11">
      <c r="A11" t="inlineStr">
        <is>
          <t>A. Break-even en unidades/mes</t>
        </is>
      </c>
      <c r="B11" s="18">
        <f>IF($B$6=0,"",ROUNDUP($B$5/$B$6,0))</f>
        <v/>
      </c>
    </row>
    <row r="12">
      <c r="A12" t="inlineStr">
        <is>
          <t>B. Break-even en dólares/mes</t>
        </is>
      </c>
      <c r="B12" s="19">
        <f>IF($B$11="","",$B$11*$B$8)</f>
        <v/>
      </c>
    </row>
    <row r="13">
      <c r="A13" t="inlineStr">
        <is>
          <t>C. Transacciones/clientes aprox./mes</t>
        </is>
      </c>
      <c r="B13" s="20">
        <f>IF($B$11="","",ROUNDUP($B$11/1.5,0))</f>
        <v/>
      </c>
    </row>
    <row r="14">
      <c r="A14" s="2" t="inlineStr">
        <is>
          <t xml:space="preserve">  (asume ~1.5 productos por transacción — ESTIMACIÓN)</t>
        </is>
      </c>
    </row>
    <row r="16">
      <c r="A16" s="3" t="inlineStr">
        <is>
          <t>Explicación del cálculo</t>
        </is>
      </c>
    </row>
    <row r="17">
      <c r="A17" s="2" t="inlineStr">
        <is>
          <t>• Margen de contribución promedio = promedio de (precio base − costo) de los productos con datos registrados.</t>
        </is>
      </c>
    </row>
    <row r="18">
      <c r="A18" s="2" t="inlineStr">
        <is>
          <t>• Si los costos fijos están en $0 (no registrados), el break-even será $0 — necesita costos reales.</t>
        </is>
      </c>
    </row>
    <row r="19">
      <c r="A19" s="2" t="inlineStr">
        <is>
          <t>• El resultado depende del margen promedio: al vender más productos de alto margen (aritos), el break-even baja.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45" customWidth="1" min="9" max="9"/>
  </cols>
  <sheetData>
    <row r="1">
      <c r="A1" s="1" t="inlineStr">
        <is>
          <t>ESCENARIOS MENSUALES — BARATUSS</t>
        </is>
      </c>
    </row>
    <row r="2">
      <c r="A2" s="2" t="inlineStr">
        <is>
          <t>Sin ventas reales registradas, los escenarios son ESTIMACIONES editables (celdas amarillas) basadas en la capacidad de la tienda.</t>
        </is>
      </c>
    </row>
    <row r="4">
      <c r="A4" s="12" t="inlineStr">
        <is>
          <t>Escenario</t>
        </is>
      </c>
      <c r="B4" s="12" t="inlineStr">
        <is>
          <t>Unidades/mes (editable)</t>
        </is>
      </c>
      <c r="C4" s="12" t="inlineStr">
        <is>
          <t>Ingresos (precio final)</t>
        </is>
      </c>
      <c r="D4" s="12" t="inlineStr">
        <is>
          <t>Costos variables</t>
        </is>
      </c>
      <c r="E4" s="12" t="inlineStr">
        <is>
          <t>Costos fijos</t>
        </is>
      </c>
      <c r="F4" s="12" t="inlineStr">
        <is>
          <t>Ganancia/Pérdida</t>
        </is>
      </c>
      <c r="G4" s="12" t="inlineStr">
        <is>
          <t>¿Alcanza break-even?</t>
        </is>
      </c>
      <c r="H4" s="12" t="inlineStr">
        <is>
          <t>Déficit para break-even</t>
        </is>
      </c>
    </row>
    <row r="5">
      <c r="A5" s="7" t="inlineStr">
        <is>
          <t>Conservador</t>
        </is>
      </c>
      <c r="B5" s="21" t="n">
        <v>5</v>
      </c>
      <c r="C5" s="13">
        <f>IF($B5="","",$B5*PRODUCTOS!$E$9)</f>
        <v/>
      </c>
      <c r="D5" s="13">
        <f>IF($B5="","",$B5*PRODUCTOS!$C$9)</f>
        <v/>
      </c>
      <c r="E5" s="13">
        <f>BREAK-EVEN!$B$5</f>
        <v/>
      </c>
      <c r="F5" s="13">
        <f>IF($C5="","",$C5-$D5-$E5)</f>
        <v/>
      </c>
      <c r="G5" s="7">
        <f>IF($F5="","",IF($F5&gt;=0,"✅ SÍ","❌ NO"))</f>
        <v/>
      </c>
      <c r="H5" s="13">
        <f>IF($F5="","",IF($F5&lt;0,ABS($F5),0))</f>
        <v/>
      </c>
      <c r="I5" s="2" t="inlineStr">
        <is>
          <t>Ventas bajas — arranque lento</t>
        </is>
      </c>
    </row>
    <row r="6">
      <c r="A6" s="7" t="inlineStr">
        <is>
          <t>Realista</t>
        </is>
      </c>
      <c r="B6" s="21" t="n">
        <v>15</v>
      </c>
      <c r="C6" s="13">
        <f>IF($B6="","",$B6*PRODUCTOS!$E$9)</f>
        <v/>
      </c>
      <c r="D6" s="13">
        <f>IF($B6="","",$B6*PRODUCTOS!$C$9)</f>
        <v/>
      </c>
      <c r="E6" s="13">
        <f>BREAK-EVEN!$B$5</f>
        <v/>
      </c>
      <c r="F6" s="13">
        <f>IF($C6="","",$C6-$D6-$E6)</f>
        <v/>
      </c>
      <c r="G6" s="7">
        <f>IF($F6="","",IF($F6&gt;=0,"✅ SÍ","❌ NO"))</f>
        <v/>
      </c>
      <c r="H6" s="13">
        <f>IF($F6="","",IF($F6&lt;0,ABS($F6),0))</f>
        <v/>
      </c>
      <c r="I6" s="2" t="inlineStr">
        <is>
          <t>Ritmo razonable de tienda pequeña</t>
        </is>
      </c>
    </row>
    <row r="7">
      <c r="A7" s="7" t="inlineStr">
        <is>
          <t>Optimista</t>
        </is>
      </c>
      <c r="B7" s="21" t="n">
        <v>40</v>
      </c>
      <c r="C7" s="13">
        <f>IF($B7="","",$B7*PRODUCTOS!$E$9)</f>
        <v/>
      </c>
      <c r="D7" s="13">
        <f>IF($B7="","",$B7*PRODUCTOS!$C$9)</f>
        <v/>
      </c>
      <c r="E7" s="13">
        <f>BREAK-EVEN!$B$5</f>
        <v/>
      </c>
      <c r="F7" s="13">
        <f>IF($C7="","",$C7-$D7-$E7)</f>
        <v/>
      </c>
      <c r="G7" s="7">
        <f>IF($F7="","",IF($F7&gt;=0,"✅ SÍ","❌ NO"))</f>
        <v/>
      </c>
      <c r="H7" s="13">
        <f>IF($F7="","",IF($F7&lt;0,ABS($F7),0))</f>
        <v/>
      </c>
      <c r="I7" s="2" t="inlineStr">
        <is>
          <t>Crecimiento fuerte con publicidad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8" customWidth="1" min="8" max="8"/>
  </cols>
  <sheetData>
    <row r="1">
      <c r="A1" s="1" t="inlineStr">
        <is>
          <t>PROYECCIÓN MENSUAL HASTA EL BREAK-EVEN</t>
        </is>
      </c>
    </row>
    <row r="2">
      <c r="A2" s="2" t="inlineStr">
        <is>
          <t>Proyección basada en unidades editables (amarillo) y costos reales. Sin ventas reales previas, esto es un escenario, no una predicción.</t>
        </is>
      </c>
    </row>
    <row r="4">
      <c r="A4" s="12" t="inlineStr">
        <is>
          <t>Mes</t>
        </is>
      </c>
      <c r="B4" s="12" t="inlineStr">
        <is>
          <t>Unidades (editable)</t>
        </is>
      </c>
      <c r="C4" s="12" t="inlineStr">
        <is>
          <t>Ventas</t>
        </is>
      </c>
      <c r="D4" s="12" t="inlineStr">
        <is>
          <t>Ingresos</t>
        </is>
      </c>
      <c r="E4" s="12" t="inlineStr">
        <is>
          <t>Costos</t>
        </is>
      </c>
      <c r="F4" s="12" t="inlineStr">
        <is>
          <t>Ganancia/Pérdida</t>
        </is>
      </c>
      <c r="G4" s="12" t="inlineStr">
        <is>
          <t>Acumulado</t>
        </is>
      </c>
      <c r="H4" s="12" t="inlineStr">
        <is>
          <t>Estado</t>
        </is>
      </c>
    </row>
    <row r="5">
      <c r="A5" s="7" t="inlineStr">
        <is>
          <t>Mes 1</t>
        </is>
      </c>
      <c r="B5" s="21" t="n">
        <v>5</v>
      </c>
      <c r="C5" s="13">
        <f>IF($B5="","",$B5*PRODUCTOS!$E$9)</f>
        <v/>
      </c>
      <c r="D5" s="13">
        <f>IF($B5="","",$B5*PRODUCTOS!$D$9)</f>
        <v/>
      </c>
      <c r="E5" s="13">
        <f>IF($B5="","",$B5*PRODUCTOS!$C$9+BREAK-EVEN!$B$5)</f>
        <v/>
      </c>
      <c r="F5" s="13">
        <f>IF($C5="","",$C5-$E5)</f>
        <v/>
      </c>
      <c r="G5" s="13">
        <f>IF($F5="","",$F5)</f>
        <v/>
      </c>
      <c r="H5" s="7">
        <f>IF($F5="","",IF($F5&gt;=0,"✅ Break-even","⬇️ Por debajo"))</f>
        <v/>
      </c>
    </row>
    <row r="6">
      <c r="A6" s="7" t="inlineStr">
        <is>
          <t>Mes 2</t>
        </is>
      </c>
      <c r="B6" s="21" t="n">
        <v>8</v>
      </c>
      <c r="C6" s="13">
        <f>IF($B6="","",$B6*PRODUCTOS!$E$9)</f>
        <v/>
      </c>
      <c r="D6" s="13">
        <f>IF($B6="","",$B6*PRODUCTOS!$D$9)</f>
        <v/>
      </c>
      <c r="E6" s="13">
        <f>IF($B6="","",$B6*PRODUCTOS!$C$9+BREAK-EVEN!$B$5)</f>
        <v/>
      </c>
      <c r="F6" s="13">
        <f>IF($C6="","",$C6-$E6)</f>
        <v/>
      </c>
      <c r="G6" s="13">
        <f>IF($F6="","",$F6+$G5)</f>
        <v/>
      </c>
      <c r="H6" s="7">
        <f>IF($F6="","",IF($F6&gt;=0,"✅ Break-even","⬇️ Por debajo"))</f>
        <v/>
      </c>
    </row>
    <row r="7">
      <c r="A7" s="7" t="inlineStr">
        <is>
          <t>Mes 3</t>
        </is>
      </c>
      <c r="B7" s="21" t="n">
        <v>10</v>
      </c>
      <c r="C7" s="13">
        <f>IF($B7="","",$B7*PRODUCTOS!$E$9)</f>
        <v/>
      </c>
      <c r="D7" s="13">
        <f>IF($B7="","",$B7*PRODUCTOS!$D$9)</f>
        <v/>
      </c>
      <c r="E7" s="13">
        <f>IF($B7="","",$B7*PRODUCTOS!$C$9+BREAK-EVEN!$B$5)</f>
        <v/>
      </c>
      <c r="F7" s="13">
        <f>IF($C7="","",$C7-$E7)</f>
        <v/>
      </c>
      <c r="G7" s="13">
        <f>IF($F7="","",$F7+$G6)</f>
        <v/>
      </c>
      <c r="H7" s="7">
        <f>IF($F7="","",IF($F7&gt;=0,"✅ Break-even","⬇️ Por debajo"))</f>
        <v/>
      </c>
    </row>
    <row r="8">
      <c r="A8" s="7" t="inlineStr">
        <is>
          <t>Mes 4</t>
        </is>
      </c>
      <c r="B8" s="21" t="n">
        <v>12</v>
      </c>
      <c r="C8" s="13">
        <f>IF($B8="","",$B8*PRODUCTOS!$E$9)</f>
        <v/>
      </c>
      <c r="D8" s="13">
        <f>IF($B8="","",$B8*PRODUCTOS!$D$9)</f>
        <v/>
      </c>
      <c r="E8" s="13">
        <f>IF($B8="","",$B8*PRODUCTOS!$C$9+BREAK-EVEN!$B$5)</f>
        <v/>
      </c>
      <c r="F8" s="13">
        <f>IF($C8="","",$C8-$E8)</f>
        <v/>
      </c>
      <c r="G8" s="13">
        <f>IF($F8="","",$F8+$G7)</f>
        <v/>
      </c>
      <c r="H8" s="7">
        <f>IF($F8="","",IF($F8&gt;=0,"✅ Break-even","⬇️ Por debajo"))</f>
        <v/>
      </c>
    </row>
    <row r="9">
      <c r="A9" s="7" t="inlineStr">
        <is>
          <t>Mes 5</t>
        </is>
      </c>
      <c r="B9" s="21" t="n">
        <v>15</v>
      </c>
      <c r="C9" s="13">
        <f>IF($B9="","",$B9*PRODUCTOS!$E$9)</f>
        <v/>
      </c>
      <c r="D9" s="13">
        <f>IF($B9="","",$B9*PRODUCTOS!$D$9)</f>
        <v/>
      </c>
      <c r="E9" s="13">
        <f>IF($B9="","",$B9*PRODUCTOS!$C$9+BREAK-EVEN!$B$5)</f>
        <v/>
      </c>
      <c r="F9" s="13">
        <f>IF($C9="","",$C9-$E9)</f>
        <v/>
      </c>
      <c r="G9" s="13">
        <f>IF($F9="","",$F9+$G8)</f>
        <v/>
      </c>
      <c r="H9" s="7">
        <f>IF($F9="","",IF($F9&gt;=0,"✅ Break-even","⬇️ Por debajo"))</f>
        <v/>
      </c>
    </row>
    <row r="10">
      <c r="A10" s="7" t="inlineStr">
        <is>
          <t>Mes 6</t>
        </is>
      </c>
      <c r="B10" s="21" t="n">
        <v>18</v>
      </c>
      <c r="C10" s="13">
        <f>IF($B10="","",$B10*PRODUCTOS!$E$9)</f>
        <v/>
      </c>
      <c r="D10" s="13">
        <f>IF($B10="","",$B10*PRODUCTOS!$D$9)</f>
        <v/>
      </c>
      <c r="E10" s="13">
        <f>IF($B10="","",$B10*PRODUCTOS!$C$9+BREAK-EVEN!$B$5)</f>
        <v/>
      </c>
      <c r="F10" s="13">
        <f>IF($C10="","",$C10-$E10)</f>
        <v/>
      </c>
      <c r="G10" s="13">
        <f>IF($F10="","",$F10+$G9)</f>
        <v/>
      </c>
      <c r="H10" s="7">
        <f>IF($F10="","",IF($F10&gt;=0,"✅ Break-even","⬇️ Por debajo"))</f>
        <v/>
      </c>
    </row>
    <row r="11">
      <c r="A11" s="7" t="inlineStr">
        <is>
          <t>Mes 7</t>
        </is>
      </c>
      <c r="B11" s="21" t="n">
        <v>20</v>
      </c>
      <c r="C11" s="13">
        <f>IF($B11="","",$B11*PRODUCTOS!$E$9)</f>
        <v/>
      </c>
      <c r="D11" s="13">
        <f>IF($B11="","",$B11*PRODUCTOS!$D$9)</f>
        <v/>
      </c>
      <c r="E11" s="13">
        <f>IF($B11="","",$B11*PRODUCTOS!$C$9+BREAK-EVEN!$B$5)</f>
        <v/>
      </c>
      <c r="F11" s="13">
        <f>IF($C11="","",$C11-$E11)</f>
        <v/>
      </c>
      <c r="G11" s="13">
        <f>IF($F11="","",$F11+$G10)</f>
        <v/>
      </c>
      <c r="H11" s="7">
        <f>IF($F11="","",IF($F11&gt;=0,"✅ Break-even","⬇️ Por debajo"))</f>
        <v/>
      </c>
    </row>
    <row r="12">
      <c r="A12" s="7" t="inlineStr">
        <is>
          <t>Mes 8</t>
        </is>
      </c>
      <c r="B12" s="21" t="n">
        <v>25</v>
      </c>
      <c r="C12" s="13">
        <f>IF($B12="","",$B12*PRODUCTOS!$E$9)</f>
        <v/>
      </c>
      <c r="D12" s="13">
        <f>IF($B12="","",$B12*PRODUCTOS!$D$9)</f>
        <v/>
      </c>
      <c r="E12" s="13">
        <f>IF($B12="","",$B12*PRODUCTOS!$C$9+BREAK-EVEN!$B$5)</f>
        <v/>
      </c>
      <c r="F12" s="13">
        <f>IF($C12="","",$C12-$E12)</f>
        <v/>
      </c>
      <c r="G12" s="13">
        <f>IF($F12="","",$F12+$G11)</f>
        <v/>
      </c>
      <c r="H12" s="7">
        <f>IF($F12="","",IF($F12&gt;=0,"✅ Break-even","⬇️ Por debajo"))</f>
        <v/>
      </c>
    </row>
    <row r="13">
      <c r="A13" s="7" t="inlineStr">
        <is>
          <t>Mes 9</t>
        </is>
      </c>
      <c r="B13" s="21" t="n">
        <v>30</v>
      </c>
      <c r="C13" s="13">
        <f>IF($B13="","",$B13*PRODUCTOS!$E$9)</f>
        <v/>
      </c>
      <c r="D13" s="13">
        <f>IF($B13="","",$B13*PRODUCTOS!$D$9)</f>
        <v/>
      </c>
      <c r="E13" s="13">
        <f>IF($B13="","",$B13*PRODUCTOS!$C$9+BREAK-EVEN!$B$5)</f>
        <v/>
      </c>
      <c r="F13" s="13">
        <f>IF($C13="","",$C13-$E13)</f>
        <v/>
      </c>
      <c r="G13" s="13">
        <f>IF($F13="","",$F13+$G12)</f>
        <v/>
      </c>
      <c r="H13" s="7">
        <f>IF($F13="","",IF($F13&gt;=0,"✅ Break-even","⬇️ Por debajo"))</f>
        <v/>
      </c>
    </row>
    <row r="14">
      <c r="A14" s="7" t="inlineStr">
        <is>
          <t>Mes 10</t>
        </is>
      </c>
      <c r="B14" s="21" t="n">
        <v>35</v>
      </c>
      <c r="C14" s="13">
        <f>IF($B14="","",$B14*PRODUCTOS!$E$9)</f>
        <v/>
      </c>
      <c r="D14" s="13">
        <f>IF($B14="","",$B14*PRODUCTOS!$D$9)</f>
        <v/>
      </c>
      <c r="E14" s="13">
        <f>IF($B14="","",$B14*PRODUCTOS!$C$9+BREAK-EVEN!$B$5)</f>
        <v/>
      </c>
      <c r="F14" s="13">
        <f>IF($C14="","",$C14-$E14)</f>
        <v/>
      </c>
      <c r="G14" s="13">
        <f>IF($F14="","",$F14+$G13)</f>
        <v/>
      </c>
      <c r="H14" s="7">
        <f>IF($F14="","",IF($F14&gt;=0,"✅ Break-even","⬇️ Por debajo"))</f>
        <v/>
      </c>
    </row>
    <row r="15">
      <c r="A15" s="7" t="inlineStr">
        <is>
          <t>Mes 11</t>
        </is>
      </c>
      <c r="B15" s="21" t="n">
        <v>40</v>
      </c>
      <c r="C15" s="13">
        <f>IF($B15="","",$B15*PRODUCTOS!$E$9)</f>
        <v/>
      </c>
      <c r="D15" s="13">
        <f>IF($B15="","",$B15*PRODUCTOS!$D$9)</f>
        <v/>
      </c>
      <c r="E15" s="13">
        <f>IF($B15="","",$B15*PRODUCTOS!$C$9+BREAK-EVEN!$B$5)</f>
        <v/>
      </c>
      <c r="F15" s="13">
        <f>IF($C15="","",$C15-$E15)</f>
        <v/>
      </c>
      <c r="G15" s="13">
        <f>IF($F15="","",$F15+$G14)</f>
        <v/>
      </c>
      <c r="H15" s="7">
        <f>IF($F15="","",IF($F15&gt;=0,"✅ Break-even","⬇️ Por debajo"))</f>
        <v/>
      </c>
    </row>
    <row r="16">
      <c r="A16" s="7" t="inlineStr">
        <is>
          <t>Mes 12</t>
        </is>
      </c>
      <c r="B16" s="21" t="n">
        <v>45</v>
      </c>
      <c r="C16" s="13">
        <f>IF($B16="","",$B16*PRODUCTOS!$E$9)</f>
        <v/>
      </c>
      <c r="D16" s="13">
        <f>IF($B16="","",$B16*PRODUCTOS!$D$9)</f>
        <v/>
      </c>
      <c r="E16" s="13">
        <f>IF($B16="","",$B16*PRODUCTOS!$C$9+BREAK-EVEN!$B$5)</f>
        <v/>
      </c>
      <c r="F16" s="13">
        <f>IF($C16="","",$C16-$E16)</f>
        <v/>
      </c>
      <c r="G16" s="13">
        <f>IF($F16="","",$F16+$G15)</f>
        <v/>
      </c>
      <c r="H16" s="7">
        <f>IF($F16="","",IF($F16&gt;=0,"✅ Break-even","⬇️ Por debajo"))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¿QUÉ TIENE QUE HACER BARATUSS PARA LLEGAR AL BREAK-EVEN?</t>
        </is>
      </c>
    </row>
    <row r="3">
      <c r="A3" s="3" t="inlineStr">
        <is>
          <t>PRODUCTOS A PRIORIZAR</t>
        </is>
      </c>
    </row>
    <row r="4">
      <c r="A4" s="2" t="inlineStr">
        <is>
          <t>• Aritos (margen 94.6%) → venderlos primero, son tu mayor margen.</t>
        </is>
      </c>
    </row>
    <row r="5">
      <c r="A5" s="2" t="inlineStr">
        <is>
          <t>• Camisa básica (margen 50%) → segundo lugar.</t>
        </is>
      </c>
    </row>
    <row r="6">
      <c r="A6" s="2" t="inlineStr">
        <is>
          <t>• Labial: registrar su costo para saber su margen (dato faltante).</t>
        </is>
      </c>
    </row>
    <row r="8">
      <c r="A8" s="3" t="inlineStr">
        <is>
          <t>PRECIOS</t>
        </is>
      </c>
    </row>
    <row r="9">
      <c r="A9" s="2" t="inlineStr">
        <is>
          <t>• Los precios actuales SÍ cubren costo + comisión Wompi + IVA (fórmula 1.189325+0.25).</t>
        </is>
      </c>
    </row>
    <row r="10">
      <c r="A10" s="2" t="inlineStr">
        <is>
          <t>• Verificar que el precio final no ahuyente: $3.00 (aritos) es accesible; $7.39 (camisa) está bien.</t>
        </is>
      </c>
    </row>
    <row r="11">
      <c r="A11" s="2" t="inlineStr">
        <is>
          <t>• Considerar precios psicológicos ($2.99, $7.49) si el margen lo permite.</t>
        </is>
      </c>
    </row>
    <row r="13">
      <c r="A13" s="3" t="inlineStr">
        <is>
          <t>COSTOS A REDUCIR</t>
        </is>
      </c>
    </row>
    <row r="14">
      <c r="A14" s="2" t="inlineStr">
        <is>
          <t>• Sin costos fijos registrados — primero hay que REGISTRARLOS (dato faltante).</t>
        </is>
      </c>
    </row>
    <row r="15">
      <c r="A15" s="2" t="inlineStr">
        <is>
          <t>• Empaque: comprar en volumen para bajar costo por unidad.</t>
        </is>
      </c>
    </row>
    <row r="16">
      <c r="A16" s="2" t="inlineStr">
        <is>
          <t>• Envío: el cobro al cliente es $2.50, verificar si cubre el costo real.</t>
        </is>
      </c>
    </row>
    <row r="18">
      <c r="A18" s="3" t="inlineStr">
        <is>
          <t>META SEMANAL/DÍA (una vez registres costos fijos)</t>
        </is>
      </c>
    </row>
    <row r="19">
      <c r="A19" s="2" t="inlineStr">
        <is>
          <t>• La hoja BREAK-EVEN calculará unidades/mes → dividir entre 4.3 semanas y entre 30 días.</t>
        </is>
      </c>
    </row>
    <row r="20">
      <c r="A20" s="2" t="inlineStr">
        <is>
          <t>• Con $0 fijos actuales, cualquier venta es ganancia — pero registra tus gastos reales.</t>
        </is>
      </c>
    </row>
    <row r="22">
      <c r="A22" s="3" t="inlineStr">
        <is>
          <t>TICKET PROMEDIO</t>
        </is>
      </c>
    </row>
    <row r="23">
      <c r="A23" s="2" t="inlineStr">
        <is>
          <t>• Aumentar el ticket: ofrecer "2 aritos por $5" o combos (ropa + accesorio).</t>
        </is>
      </c>
    </row>
    <row r="24">
      <c r="A24" s="2" t="inlineStr">
        <is>
          <t>• Más productos por transacción = menos transacciones necesarias para el break-even.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</cols>
  <sheetData>
    <row r="1">
      <c r="A1" s="1" t="inlineStr">
        <is>
          <t>INFORMACIÓN QUE NECESITO PARA UN ANÁLISIS CONFIABLE</t>
        </is>
      </c>
    </row>
    <row r="2">
      <c r="A2" s="2" t="inlineStr">
        <is>
          <t>Estos datos NO están registrados. Sin ellos, el break-even no es exacto. Por favor complétalos.</t>
        </is>
      </c>
    </row>
    <row r="4">
      <c r="A4" s="9" t="inlineStr">
        <is>
          <t>Costos fijos mensuales</t>
        </is>
      </c>
      <c r="B4" s="7" t="inlineStr">
        <is>
          <t>Alquiler, internet, luz, etc.</t>
        </is>
      </c>
      <c r="C4" s="14" t="inlineStr">
        <is>
          <t>¿Cuánto pagas al mes por tu negocio?</t>
        </is>
      </c>
    </row>
    <row r="5">
      <c r="A5" s="9" t="inlineStr">
        <is>
          <t>Empaque por unidad</t>
        </is>
      </c>
      <c r="B5" s="7" t="inlineStr">
        <is>
          <t>Bolsas, cajas, etiquetas</t>
        </is>
      </c>
      <c r="C5" s="14" t="inlineStr">
        <is>
          <t>¿Cuánto cuesta empacar 1 producto?</t>
        </is>
      </c>
    </row>
    <row r="6">
      <c r="A6" s="9" t="inlineStr">
        <is>
          <t>Publicidad/marketing</t>
        </is>
      </c>
      <c r="B6" s="7" t="inlineStr">
        <is>
          <t>Anuncios, promociones</t>
        </is>
      </c>
      <c r="C6" s="14" t="inlineStr">
        <is>
          <t>¿Cuánto inviertes en publicidad?</t>
        </is>
      </c>
    </row>
    <row r="7">
      <c r="A7" s="9" t="inlineStr">
        <is>
          <t>Envío real</t>
        </is>
      </c>
      <c r="B7" s="7" t="inlineStr">
        <is>
          <t>Transporte para entregas</t>
        </is>
      </c>
      <c r="C7" s="14" t="inlineStr">
        <is>
          <t>¿Cuánto te cuesta un envío de verdad?</t>
        </is>
      </c>
    </row>
    <row r="8">
      <c r="A8" s="9" t="inlineStr">
        <is>
          <t>Costo del labial</t>
        </is>
      </c>
      <c r="B8" s="7" t="inlineStr">
        <is>
          <t>Precio de compra del labial</t>
        </is>
      </c>
      <c r="C8" s="14" t="inlineStr">
        <is>
          <t>¿A cuánto compras cada labial?</t>
        </is>
      </c>
    </row>
    <row r="9">
      <c r="A9" s="9" t="inlineStr">
        <is>
          <t>Ventas reales</t>
        </is>
      </c>
      <c r="B9" s="7" t="inlineStr">
        <is>
          <t>Historial de pedidos</t>
        </is>
      </c>
      <c r="C9" s="14" t="inlineStr">
        <is>
          <t>La tienda tiene 0 órdenes — necesita primeras ventas</t>
        </is>
      </c>
    </row>
    <row r="10">
      <c r="A10" s="9" t="inlineStr">
        <is>
          <t>Ticket promedio real</t>
        </is>
      </c>
      <c r="B10" s="7" t="inlineStr">
        <is>
          <t>Productos por compra</t>
        </is>
      </c>
      <c r="C10" s="14" t="inlineStr">
        <is>
          <t>¿Cuántos productos compra un cliente típico?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2026-08-15T01:54:59Z</dcterms:created>
  <dcterms:modified xsi:type="dcterms:W3CDTF">2026-08-15T01:54:59Z</dcterms:modified>
</cp:coreProperties>
</file>